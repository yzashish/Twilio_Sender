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mc:AlternateContent xmlns:mc="http://schemas.openxmlformats.org/markup-compatibility/2006">
    <mc:Choice Requires="x15">
      <x15ac:absPath xmlns:x15ac="http://schemas.microsoft.com/office/spreadsheetml/2010/11/ac" url="https://oracle-my.sharepoint.com/personal/ashish_d_jain_oracle_com/Documents/Git/"/>
    </mc:Choice>
  </mc:AlternateContent>
  <xr:revisionPtr revIDLastSave="62" documentId="11_1CC3CF581A929D46026E3B5F72E494CCFDFA7F19" xr6:coauthVersionLast="47" xr6:coauthVersionMax="47" xr10:uidLastSave="{2A0EE69A-D092-40CB-8BD3-B334FDB7839D}"/>
  <bookViews>
    <workbookView xWindow="-110" yWindow="490" windowWidth="19420" windowHeight="10900" xr2:uid="{00000000-000D-0000-FFFF-FFFF00000000}"/>
  </bookViews>
  <sheets>
    <sheet name="Dashboard" sheetId="1" r:id="rId1"/>
    <sheet name="Contacts" sheetId="2" r:id="rId2"/>
    <sheet name="Templates" sheetId="3" r:id="rId3"/>
    <sheet name="Setting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2" i="3"/>
  <c r="G3" i="3"/>
  <c r="H3" i="3" s="1"/>
  <c r="G2" i="3"/>
  <c r="H2" i="3" s="1"/>
</calcChain>
</file>

<file path=xl/sharedStrings.xml><?xml version="1.0" encoding="utf-8"?>
<sst xmlns="http://schemas.openxmlformats.org/spreadsheetml/2006/main" count="72" uniqueCount="64">
  <si>
    <t>Twilio WhatsApp Messenger</t>
  </si>
  <si>
    <t>How to Use</t>
  </si>
  <si>
    <t>1. Go to the 'Settings' sheet and enter your Twilio Account SID, Auth Token, and 'From' number.
2. Go to the 'Contacts' sheet and add your contacts' names and numbers. Set 'Send?' to 'Yes' for those you want to message.
3. Go to the 'Templates' sheet to review or create your message templates. Note the cell of the template you want to use (e.g., A2).
4. Come back to this Dashboard and enter the template's cell address into the yellow box at C5.
5. Click the 'Send Messages' button (which will be added after embedding the macro) to send the messages.</t>
  </si>
  <si>
    <t>Active Template Cell:</t>
  </si>
  <si>
    <t>&lt;- Enter the cell containing your desired template from the 'Templates' sheet (e.g., A2, A3).</t>
  </si>
  <si>
    <t>Button Placeholder</t>
  </si>
  <si>
    <t>The 'Send Messages' button will be located in this area. You will need to add it manually after the macro is embedded. See User Guide for instructions.</t>
  </si>
  <si>
    <t>Name</t>
  </si>
  <si>
    <t>WhatsApp Number</t>
  </si>
  <si>
    <t>Send?</t>
  </si>
  <si>
    <t>Status</t>
  </si>
  <si>
    <t>Variable {{1}}</t>
  </si>
  <si>
    <t>Variable {{2}}</t>
  </si>
  <si>
    <t>Variable {{3}}</t>
  </si>
  <si>
    <t>Variable {{4}}</t>
  </si>
  <si>
    <t>Yes</t>
  </si>
  <si>
    <t>Value1A</t>
  </si>
  <si>
    <t>Value2A</t>
  </si>
  <si>
    <t>Value3A</t>
  </si>
  <si>
    <t>Value4A</t>
  </si>
  <si>
    <t>Value1B</t>
  </si>
  <si>
    <t>Value2B</t>
  </si>
  <si>
    <t>Value3B</t>
  </si>
  <si>
    <t>Value4B</t>
  </si>
  <si>
    <t>Value1C</t>
  </si>
  <si>
    <t>Value2C</t>
  </si>
  <si>
    <t>Value3C</t>
  </si>
  <si>
    <t>Value4C</t>
  </si>
  <si>
    <t>Template Content</t>
  </si>
  <si>
    <t>Description</t>
  </si>
  <si>
    <t>Setting</t>
  </si>
  <si>
    <t>Value</t>
  </si>
  <si>
    <t>Twilio Account SID</t>
  </si>
  <si>
    <t>Twilio Auth Token</t>
  </si>
  <si>
    <t>Twilio 'From' Number</t>
  </si>
  <si>
    <t>Sandeep</t>
  </si>
  <si>
    <t>Ashish</t>
  </si>
  <si>
    <t>Shivam</t>
  </si>
  <si>
    <t>Message UID</t>
  </si>
  <si>
    <t>HXed1028a89b9e341576ac8dd83207d268</t>
  </si>
  <si>
    <t>hindi_kk_enterprises_production_cap_offer</t>
  </si>
  <si>
    <t>HX40d7ebd2cb22db58e7930f6716a05387</t>
  </si>
  <si>
    <t>नमस्ते {{1}}, खुशी की बात है कि KK Enterprises में इस समय हमारी उत्पादन क्षमता अप्रयुक्त है। इसका मतलब है कि आपका कार्य प्राथमिकता के साथ किया जाएगा और मोल्ड डिलीवरी सिर्फ 2 हफ्ते में सुनिश्चित की जाएगी! विशेष ऑफर: {{2}} MRP: ₹{{3}} | आपकी छूट: {{4}}% यह ऑफर {{5}} से {{6}} तक मान्य है। आज ही संपर्क करें और इस अवसर का लाभ उठाएँ। {{7}} {{8}} शुभ दिन! 😊 (संलग्न: {{9}})</t>
  </si>
  <si>
    <t>kk_enterprises_production_cap_offer</t>
  </si>
  <si>
    <t>Hello {{1}},
We are excited to inform you that at KK Enterprises, we currently have unutilized production capacity.
This means your work will be prioritized, and mould delivery will be assured within 2 weeks!
Special Offer: {{2}}
Regular Price: ₹{{3}} | Your Discount: {{4}}%
Offer valid from {{5}} to {{6}}.
Visit us or connect today and benefit from this opportunity.
{{7}}
{{8}}
Have a great day! 😊
(Attached: {{9}})</t>
  </si>
  <si>
    <t>Brake Mould Design</t>
  </si>
  <si>
    <t>KK Enterprises</t>
  </si>
  <si>
    <t>Plot 123, Industrial Area, Delhi</t>
  </si>
  <si>
    <t>KK_enter.png</t>
  </si>
  <si>
    <t>केके एंटरप्राइजेज</t>
  </si>
  <si>
    <t>प्लॉट १२३, इंडस्ट्रियल एरिया, दिल्ली</t>
  </si>
  <si>
    <t>ब्रेक मोल्ड डिजाइन</t>
  </si>
  <si>
    <t>+15558896991</t>
  </si>
  <si>
    <t>No</t>
  </si>
  <si>
    <t>C2</t>
  </si>
  <si>
    <t>Variable {{5}}</t>
  </si>
  <si>
    <t>Variable {{6}}</t>
  </si>
  <si>
    <t>Variable {{7}}</t>
  </si>
  <si>
    <t>Variable {{8}}</t>
  </si>
  <si>
    <t>Variable {{9}}</t>
  </si>
  <si>
    <t>Variable {{10}}</t>
  </si>
  <si>
    <t>Final Message</t>
  </si>
  <si>
    <t>xyz</t>
  </si>
  <si>
    <t>abc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</si>
</sst>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4F81BD"/>
      <name val="Calibri"/>
    </font>
    <font>
      <b/>
      <sz val="11"/>
      <color rgb="FFFFFFFF"/>
      <name val="Calibri"/>
    </font>
    <font>
      <sz val="12"/>
      <name val="Calibri"/>
    </font>
    <font>
      <b/>
      <sz val="11"/>
      <name val="Calibri"/>
    </font>
    <font>
      <i/>
      <sz val="11"/>
      <color rgb="FF595959"/>
      <name val="Calibri"/>
    </font>
  </fonts>
  <fills count="4">
    <fill>
      <patternFill patternType="none"/>
    </fill>
    <fill>
      <patternFill patternType="gray125"/>
    </fill>
    <fill>
      <patternFill patternType="solid">
        <fgColor rgb="FF4F81BD"/>
        <bgColor rgb="FF4F81BD"/>
      </patternFill>
    </fill>
    <fill>
      <patternFill patternType="solid">
        <fgColor rgb="FFFFFF00"/>
        <bgColor rgb="FFFFFF00"/>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xf numFmtId="0" fontId="4" fillId="0" borderId="0" xfId="0" applyFont="1" applyAlignment="1">
      <alignment horizontal="right"/>
    </xf>
    <xf numFmtId="0" fontId="4" fillId="3" borderId="0" xfId="0" applyFont="1" applyFill="1"/>
    <xf numFmtId="0" fontId="5" fillId="0" borderId="0" xfId="0" applyFont="1"/>
    <xf numFmtId="0" fontId="0" fillId="0" borderId="0" xfId="0" applyAlignment="1">
      <alignment vertical="top" wrapText="1"/>
    </xf>
    <xf numFmtId="0" fontId="4" fillId="0" borderId="0" xfId="0" applyFont="1"/>
    <xf numFmtId="0" fontId="5" fillId="0" borderId="0" xfId="0" applyFont="1" applyProtection="1">
      <protection locked="0"/>
    </xf>
    <xf numFmtId="0" fontId="0" fillId="0" borderId="0" xfId="0"/>
    <xf numFmtId="0" fontId="2" fillId="2" borderId="0" xfId="0" applyFont="1" applyFill="1"/>
    <xf numFmtId="14" fontId="0" fillId="0" borderId="0" xfId="0" applyNumberFormat="1"/>
    <xf numFmtId="0" fontId="5" fillId="0" borderId="0" xfId="0" quotePrefix="1" applyFont="1" applyProtection="1">
      <protection locked="0"/>
    </xf>
    <xf numFmtId="0" fontId="1" fillId="0" borderId="0" xfId="0" applyFont="1"/>
    <xf numFmtId="0" fontId="0" fillId="0" borderId="0" xfId="0"/>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8"/>
  <sheetViews>
    <sheetView tabSelected="1" workbookViewId="0">
      <selection activeCell="A4" sqref="A4:D4"/>
    </sheetView>
  </sheetViews>
  <sheetFormatPr defaultRowHeight="14.5" x14ac:dyDescent="0.35"/>
  <cols>
    <col min="1" max="1" width="25" customWidth="1"/>
    <col min="2" max="2" width="50" customWidth="1"/>
    <col min="3" max="3" width="15" customWidth="1"/>
    <col min="4" max="4" width="50" customWidth="1"/>
  </cols>
  <sheetData>
    <row r="1" spans="1:4" ht="23.5" x14ac:dyDescent="0.55000000000000004">
      <c r="A1" s="12" t="s">
        <v>0</v>
      </c>
      <c r="B1" s="13"/>
      <c r="C1" s="13"/>
      <c r="D1" s="13"/>
    </row>
    <row r="3" spans="1:4" x14ac:dyDescent="0.35">
      <c r="A3" s="16" t="s">
        <v>1</v>
      </c>
      <c r="B3" s="13"/>
      <c r="C3" s="13"/>
      <c r="D3" s="13"/>
    </row>
    <row r="4" spans="1:4" ht="100" customHeight="1" x14ac:dyDescent="0.35">
      <c r="A4" s="15" t="s">
        <v>2</v>
      </c>
      <c r="B4" s="13"/>
      <c r="C4" s="13"/>
      <c r="D4" s="13"/>
    </row>
    <row r="5" spans="1:4" x14ac:dyDescent="0.35">
      <c r="B5" s="2" t="s">
        <v>3</v>
      </c>
      <c r="C5" s="3" t="s">
        <v>54</v>
      </c>
      <c r="D5" s="4" t="s">
        <v>4</v>
      </c>
    </row>
    <row r="7" spans="1:4" x14ac:dyDescent="0.35">
      <c r="A7" s="16" t="s">
        <v>5</v>
      </c>
      <c r="B7" s="13"/>
      <c r="C7" s="13"/>
      <c r="D7" s="13"/>
    </row>
    <row r="8" spans="1:4" ht="50" customHeight="1" x14ac:dyDescent="0.35">
      <c r="A8" s="14" t="s">
        <v>6</v>
      </c>
      <c r="B8" s="13"/>
      <c r="C8" s="13"/>
      <c r="D8" s="13"/>
    </row>
  </sheetData>
  <mergeCells count="5">
    <mergeCell ref="A1:D1"/>
    <mergeCell ref="A8:D8"/>
    <mergeCell ref="A4:D4"/>
    <mergeCell ref="A3:D3"/>
    <mergeCell ref="A7:D7"/>
  </mergeCells>
  <pageMargins left="0.75" right="0.75" top="1" bottom="1" header="0.5" footer="0.5"/>
  <headerFooter>
    <oddFooter>&amp;L_x000D_&amp;1#&amp;"Calibri"&amp;10&amp;K000000 Confidential – Oracle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5"/>
  <sheetViews>
    <sheetView workbookViewId="0">
      <selection activeCell="A2" sqref="A2"/>
    </sheetView>
  </sheetViews>
  <sheetFormatPr defaultRowHeight="14.5" x14ac:dyDescent="0.35"/>
  <cols>
    <col min="1" max="2" width="20" customWidth="1"/>
    <col min="3" max="3" width="10" customWidth="1"/>
    <col min="4" max="4" width="30" customWidth="1"/>
    <col min="5" max="8" width="15" customWidth="1"/>
  </cols>
  <sheetData>
    <row r="1" spans="1:8" x14ac:dyDescent="0.35">
      <c r="A1" s="1" t="s">
        <v>7</v>
      </c>
      <c r="B1" s="1" t="s">
        <v>8</v>
      </c>
      <c r="C1" s="1" t="s">
        <v>9</v>
      </c>
      <c r="D1" s="1" t="s">
        <v>10</v>
      </c>
      <c r="E1" s="1" t="s">
        <v>11</v>
      </c>
      <c r="F1" s="1" t="s">
        <v>12</v>
      </c>
      <c r="G1" s="1" t="s">
        <v>13</v>
      </c>
      <c r="H1" s="1" t="s">
        <v>14</v>
      </c>
    </row>
    <row r="2" spans="1:8" x14ac:dyDescent="0.35">
      <c r="A2" t="s">
        <v>36</v>
      </c>
      <c r="B2">
        <v>8585900385</v>
      </c>
      <c r="C2" t="s">
        <v>15</v>
      </c>
      <c r="E2" t="s">
        <v>16</v>
      </c>
      <c r="F2" t="s">
        <v>17</v>
      </c>
      <c r="G2" t="s">
        <v>18</v>
      </c>
      <c r="H2" t="s">
        <v>19</v>
      </c>
    </row>
    <row r="3" spans="1:8" x14ac:dyDescent="0.35">
      <c r="A3" t="s">
        <v>37</v>
      </c>
      <c r="B3">
        <v>8767402027</v>
      </c>
      <c r="C3" t="s">
        <v>15</v>
      </c>
      <c r="E3" t="s">
        <v>20</v>
      </c>
      <c r="F3" t="s">
        <v>21</v>
      </c>
      <c r="G3" t="s">
        <v>22</v>
      </c>
      <c r="H3" t="s">
        <v>23</v>
      </c>
    </row>
    <row r="4" spans="1:8" x14ac:dyDescent="0.35">
      <c r="A4" t="s">
        <v>35</v>
      </c>
      <c r="B4">
        <v>9818050221</v>
      </c>
      <c r="C4" t="s">
        <v>53</v>
      </c>
      <c r="E4" t="s">
        <v>24</v>
      </c>
      <c r="F4" t="s">
        <v>25</v>
      </c>
      <c r="G4" t="s">
        <v>26</v>
      </c>
      <c r="H4" t="s">
        <v>27</v>
      </c>
    </row>
    <row r="5" spans="1:8" x14ac:dyDescent="0.35">
      <c r="A5" t="s">
        <v>35</v>
      </c>
      <c r="B5">
        <v>8279939975</v>
      </c>
      <c r="C5" t="s">
        <v>15</v>
      </c>
    </row>
  </sheetData>
  <dataValidations count="1">
    <dataValidation type="list" allowBlank="1" sqref="C2:C1048576" xr:uid="{00000000-0002-0000-0100-000000000000}">
      <formula1>"Yes,No"</formula1>
    </dataValidation>
  </dataValidations>
  <pageMargins left="0.75" right="0.75" top="1" bottom="1" header="0.5" footer="0.5"/>
  <headerFooter>
    <oddFooter>&amp;L_x000D_&amp;1#&amp;"Calibri"&amp;10&amp;K000000 Confidential – Oracle Internal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3"/>
  <sheetViews>
    <sheetView topLeftCell="C1" workbookViewId="0">
      <selection activeCell="N2" sqref="N2"/>
    </sheetView>
  </sheetViews>
  <sheetFormatPr defaultRowHeight="14.5" x14ac:dyDescent="0.35"/>
  <cols>
    <col min="1" max="1" width="80" customWidth="1"/>
    <col min="2" max="3" width="40" customWidth="1"/>
    <col min="4" max="7" width="12.08984375" bestFit="1" customWidth="1"/>
    <col min="8" max="8" width="10.08984375" bestFit="1" customWidth="1"/>
  </cols>
  <sheetData>
    <row r="1" spans="1:14" x14ac:dyDescent="0.35">
      <c r="A1" s="1" t="s">
        <v>28</v>
      </c>
      <c r="B1" s="1" t="s">
        <v>29</v>
      </c>
      <c r="C1" s="1" t="s">
        <v>38</v>
      </c>
      <c r="D1" s="1" t="s">
        <v>11</v>
      </c>
      <c r="E1" s="1" t="s">
        <v>12</v>
      </c>
      <c r="F1" s="1" t="s">
        <v>13</v>
      </c>
      <c r="G1" s="1" t="s">
        <v>14</v>
      </c>
      <c r="H1" s="9" t="s">
        <v>55</v>
      </c>
      <c r="I1" s="9" t="s">
        <v>56</v>
      </c>
      <c r="J1" s="9" t="s">
        <v>57</v>
      </c>
      <c r="K1" s="9" t="s">
        <v>58</v>
      </c>
      <c r="L1" s="9" t="s">
        <v>59</v>
      </c>
      <c r="M1" s="9" t="s">
        <v>60</v>
      </c>
      <c r="N1" s="9" t="s">
        <v>61</v>
      </c>
    </row>
    <row r="2" spans="1:14" ht="200" customHeight="1" x14ac:dyDescent="0.35">
      <c r="A2" s="5" t="s">
        <v>42</v>
      </c>
      <c r="B2" s="5" t="s">
        <v>40</v>
      </c>
      <c r="C2" s="5" t="s">
        <v>41</v>
      </c>
      <c r="D2" t="str">
        <f>Contacts!A2</f>
        <v>Ashish</v>
      </c>
      <c r="E2" s="5" t="s">
        <v>51</v>
      </c>
      <c r="F2">
        <v>95000</v>
      </c>
      <c r="G2" s="10">
        <f ca="1">TODAY()</f>
        <v>45915</v>
      </c>
      <c r="H2" s="10">
        <f ca="1">G2+4</f>
        <v>45919</v>
      </c>
      <c r="I2" t="s">
        <v>49</v>
      </c>
      <c r="J2" t="s">
        <v>50</v>
      </c>
      <c r="K2" t="s">
        <v>48</v>
      </c>
    </row>
    <row r="3" spans="1:14" ht="30" customHeight="1" x14ac:dyDescent="0.35">
      <c r="A3" s="5" t="s">
        <v>44</v>
      </c>
      <c r="B3" t="s">
        <v>43</v>
      </c>
      <c r="C3" t="s">
        <v>39</v>
      </c>
      <c r="D3" s="8" t="str">
        <f>Contacts!A3</f>
        <v>Shivam</v>
      </c>
      <c r="E3" t="s">
        <v>45</v>
      </c>
      <c r="F3">
        <v>95000</v>
      </c>
      <c r="G3" s="10">
        <f ca="1">TODAY()</f>
        <v>45915</v>
      </c>
      <c r="H3" s="10">
        <f ca="1">G3+4</f>
        <v>45919</v>
      </c>
      <c r="I3" t="s">
        <v>46</v>
      </c>
      <c r="J3" t="s">
        <v>47</v>
      </c>
      <c r="K3" t="s">
        <v>48</v>
      </c>
    </row>
  </sheetData>
  <pageMargins left="0.75" right="0.75" top="1" bottom="1" header="0.5" footer="0.5"/>
  <headerFooter>
    <oddFooter>&amp;L_x000D_&amp;1#&amp;"Calibri"&amp;10&amp;K000000 Confidential – Oracle 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B4"/>
  <sheetViews>
    <sheetView workbookViewId="0">
      <selection activeCell="B4" sqref="B4"/>
    </sheetView>
  </sheetViews>
  <sheetFormatPr defaultRowHeight="14.5" x14ac:dyDescent="0.35"/>
  <cols>
    <col min="1" max="1" width="25" customWidth="1"/>
    <col min="2" max="2" width="50" customWidth="1"/>
  </cols>
  <sheetData>
    <row r="1" spans="1:2" x14ac:dyDescent="0.35">
      <c r="A1" s="1" t="s">
        <v>30</v>
      </c>
      <c r="B1" s="1" t="s">
        <v>31</v>
      </c>
    </row>
    <row r="2" spans="1:2" x14ac:dyDescent="0.35">
      <c r="A2" s="6" t="s">
        <v>32</v>
      </c>
      <c r="B2" s="7" t="s">
        <v>62</v>
      </c>
    </row>
    <row r="3" spans="1:2" x14ac:dyDescent="0.35">
      <c r="A3" s="6" t="s">
        <v>33</v>
      </c>
      <c r="B3" s="7" t="s">
        <v>63</v>
      </c>
    </row>
    <row r="4" spans="1:2" x14ac:dyDescent="0.35">
      <c r="A4" s="6" t="s">
        <v>34</v>
      </c>
      <c r="B4" s="11" t="s">
        <v>52</v>
      </c>
    </row>
  </sheetData>
  <sheetProtection password="DC11" sheet="1"/>
  <pageMargins left="0.75" right="0.75" top="1" bottom="1" header="0.5" footer="0.5"/>
  <headerFooter>
    <oddFooter>&amp;L_x000D_&amp;1#&amp;"Calibri"&amp;10&amp;K000000 Confidential – Oracle Internal</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Contacts</vt:lpstr>
      <vt:lpstr>Templates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Ashish Jain</cp:lastModifiedBy>
  <dcterms:created xsi:type="dcterms:W3CDTF">2025-09-12T07:29:34Z</dcterms:created>
  <dcterms:modified xsi:type="dcterms:W3CDTF">2025-09-15T11:23:03Z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4de43ec-192a-49eb-8e54-baeb8c71bbbe_Enabled">
    <vt:lpwstr>true</vt:lpwstr>
  </property>
  <property fmtid="{D5CDD505-2E9C-101B-9397-08002B2CF9AE}" pid="3" name="MSIP_Label_a4de43ec-192a-49eb-8e54-baeb8c71bbbe_SetDate">
    <vt:lpwstr>2025-09-14T09:17:40Z</vt:lpwstr>
  </property>
  <property fmtid="{D5CDD505-2E9C-101B-9397-08002B2CF9AE}" pid="4" name="MSIP_Label_a4de43ec-192a-49eb-8e54-baeb8c71bbbe_Method">
    <vt:lpwstr>Standard</vt:lpwstr>
  </property>
  <property fmtid="{D5CDD505-2E9C-101B-9397-08002B2CF9AE}" pid="5" name="MSIP_Label_a4de43ec-192a-49eb-8e54-baeb8c71bbbe_Name">
    <vt:lpwstr>Confidential – Oracle Internal</vt:lpwstr>
  </property>
  <property fmtid="{D5CDD505-2E9C-101B-9397-08002B2CF9AE}" pid="6" name="MSIP_Label_a4de43ec-192a-49eb-8e54-baeb8c71bbbe_SiteId">
    <vt:lpwstr>4e2c6054-71cb-48f1-bd6c-3a9705aca71b</vt:lpwstr>
  </property>
  <property fmtid="{D5CDD505-2E9C-101B-9397-08002B2CF9AE}" pid="7" name="MSIP_Label_a4de43ec-192a-49eb-8e54-baeb8c71bbbe_ActionId">
    <vt:lpwstr>2e4794e9-21ff-4d5b-89a1-8afb9009a9d2</vt:lpwstr>
  </property>
  <property fmtid="{D5CDD505-2E9C-101B-9397-08002B2CF9AE}" pid="8" name="MSIP_Label_a4de43ec-192a-49eb-8e54-baeb8c71bbbe_ContentBits">
    <vt:lpwstr>2</vt:lpwstr>
  </property>
</Properties>
</file>